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carregar_arquivo" defaultThemeVersion="124226"/>
  <mc:AlternateContent xmlns:mc="http://schemas.openxmlformats.org/markup-compatibility/2006">
    <mc:Choice Requires="x15">
      <x15ac:absPath xmlns:x15ac="http://schemas.microsoft.com/office/spreadsheetml/2010/11/ac" url="C:\Users\José Alves\Desktop\FATEC\Prog. Microinformatica\"/>
    </mc:Choice>
  </mc:AlternateContent>
  <xr:revisionPtr revIDLastSave="0" documentId="13_ncr:1_{71DA35CC-720F-45EC-843C-B1D98C4E4057}" xr6:coauthVersionLast="45" xr6:coauthVersionMax="45" xr10:uidLastSave="{00000000-0000-0000-0000-000000000000}"/>
  <bookViews>
    <workbookView xWindow="-120" yWindow="-120" windowWidth="25440" windowHeight="15390" tabRatio="779" xr2:uid="{00000000-000D-0000-FFFF-FFFF00000000}"/>
  </bookViews>
  <sheets>
    <sheet name="HOME" sheetId="1" r:id="rId1"/>
    <sheet name="CONTAS LOGIN" sheetId="13" r:id="rId2"/>
    <sheet name="VENDAS" sheetId="2" r:id="rId3"/>
    <sheet name="APURAÇÃO SUBTOTAIS" sheetId="3" r:id="rId4"/>
    <sheet name="CONSOLIDAÇÃO VALORES" sheetId="8" r:id="rId5"/>
    <sheet name="DADOS DINÂMICOS" sheetId="11" r:id="rId6"/>
    <sheet name="TABELA DINÂMICA" sheetId="10" r:id="rId7"/>
    <sheet name="ESTATISTICA VENDAS" sheetId="12" r:id="rId8"/>
    <sheet name="DADOS GRÁFICO" sheetId="7" r:id="rId9"/>
    <sheet name="PEDIDOS" sheetId="6" r:id="rId10"/>
  </sheets>
  <functionGroups builtInGroupCount="19"/>
  <definedNames>
    <definedName name="_xlnm._FilterDatabase" localSheetId="6" hidden="1">'TABELA DINÂMICA'!$B$9:$F$9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0" i="2"/>
  <c r="I10" i="2" s="1"/>
  <c r="F11" i="2"/>
  <c r="F12" i="2"/>
  <c r="F13" i="2"/>
  <c r="F14" i="2"/>
  <c r="F15" i="2"/>
  <c r="F16" i="2"/>
  <c r="F17" i="2"/>
  <c r="F18" i="2"/>
  <c r="F10" i="2"/>
  <c r="R16" i="2" s="1"/>
  <c r="C11" i="2"/>
  <c r="C12" i="2"/>
  <c r="C13" i="2"/>
  <c r="C14" i="2"/>
  <c r="C15" i="2"/>
  <c r="C16" i="2"/>
  <c r="C17" i="2"/>
  <c r="C18" i="2"/>
  <c r="C10" i="2"/>
  <c r="H20" i="2" l="1"/>
  <c r="H22" i="2" s="1"/>
  <c r="H24" i="2" s="1"/>
  <c r="P10" i="2"/>
  <c r="P12" i="2"/>
  <c r="P16" i="2"/>
  <c r="R17" i="2"/>
  <c r="P11" i="2"/>
  <c r="P13" i="2"/>
  <c r="P17" i="2"/>
  <c r="R18" i="2"/>
  <c r="R10" i="2"/>
  <c r="P14" i="2"/>
  <c r="P18" i="2"/>
  <c r="R11" i="2"/>
  <c r="P15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l="1"/>
  <c r="H19" i="2"/>
</calcChain>
</file>

<file path=xl/sharedStrings.xml><?xml version="1.0" encoding="utf-8"?>
<sst xmlns="http://schemas.openxmlformats.org/spreadsheetml/2006/main" count="499" uniqueCount="173">
  <si>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</si>
  <si>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</si>
  <si>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</si>
  <si>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</si>
  <si>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</si>
  <si>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</si>
  <si>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</si>
  <si>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</si>
  <si>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</si>
  <si>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</si>
  <si>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</si>
  <si>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</si>
  <si>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</si>
  <si>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</si>
  <si>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</si>
  <si>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</si>
  <si>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</si>
  <si>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</si>
  <si>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</si>
  <si>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</si>
  <si>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</si>
  <si>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</si>
  <si>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</si>
  <si>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</si>
  <si>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</si>
  <si>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</si>
  <si>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</si>
  <si>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</si>
  <si>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</si>
  <si>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</si>
  <si>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</si>
  <si>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</si>
  <si>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</si>
  <si>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</si>
  <si>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</si>
  <si>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</si>
  <si>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</si>
  <si>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</si>
  <si>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</si>
  <si>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</si>
  <si>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</si>
  <si>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</si>
  <si>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</si>
  <si>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</si>
  <si>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</si>
  <si>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</si>
  <si>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</si>
  <si>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</si>
  <si>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</si>
  <si>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</si>
  <si>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</si>
  <si>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</si>
  <si>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</si>
  <si>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</si>
  <si>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</si>
  <si>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</si>
  <si>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</si>
  <si>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</si>
  <si>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</si>
  <si>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</si>
  <si>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</si>
  <si>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</si>
  <si>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</si>
  <si>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</si>
  <si>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</si>
  <si>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</si>
  <si>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</si>
  <si>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</si>
  <si>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</si>
  <si>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</si>
  <si>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</si>
  <si>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</si>
  <si>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</si>
  <si>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</si>
  <si>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</si>
  <si>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</si>
  <si>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</si>
  <si>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</si>
  <si>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</si>
  <si>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</si>
  <si>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</si>
  <si>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</si>
  <si>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</si>
  <si>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</si>
  <si>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</si>
  <si>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</si>
  <si>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</si>
  <si>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</si>
  <si>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</si>
  <si>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</si>
  <si>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</si>
  <si>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</si>
  <si>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</si>
  <si>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</si>
  <si>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</si>
  <si>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</si>
  <si>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</si>
  <si>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</si>
  <si>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</si>
  <si>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</si>
  <si>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</si>
  <si>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</si>
  <si>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</si>
  <si>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</si>
  <si>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</si>
  <si>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</si>
  <si>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</si>
  <si>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</si>
  <si>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</si>
  <si>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</si>
  <si>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</si>
  <si>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</si>
  <si>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</si>
  <si>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</si>
  <si>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</si>
  <si>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</si>
  <si>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</si>
  <si>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</si>
  <si>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</si>
  <si>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</si>
  <si>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</si>
  <si>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</si>
  <si>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</si>
  <si>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</si>
  <si>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</si>
  <si>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</si>
  <si>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</si>
  <si>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</si>
  <si>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</si>
  <si>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</si>
  <si>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</si>
  <si>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</si>
  <si>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</si>
  <si>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</si>
  <si>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</si>
  <si>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</si>
  <si>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</si>
  <si>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</si>
  <si>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</si>
  <si>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</si>
  <si>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</si>
  <si>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</si>
  <si>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</si>
  <si>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</si>
  <si>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</si>
  <si>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</si>
  <si>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</si>
  <si>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</si>
  <si>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</si>
  <si>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</si>
  <si>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</si>
  <si>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LISTAGEM DE CONTAS - LOGIN</t>
  </si>
  <si>
    <t>ID USUÁRIO</t>
  </si>
  <si>
    <t>NOME DO USUÁRIO</t>
  </si>
  <si>
    <t>E-MAIL</t>
  </si>
  <si>
    <t>SENHA</t>
  </si>
  <si>
    <t>STATUS DA CONTA</t>
  </si>
  <si>
    <t>Moquidésia</t>
  </si>
  <si>
    <t>moquidesia@fatec</t>
  </si>
  <si>
    <t>123a</t>
  </si>
  <si>
    <t>ATIVA</t>
  </si>
  <si>
    <t>João</t>
  </si>
  <si>
    <t>joao@fatec</t>
  </si>
  <si>
    <t>123</t>
  </si>
  <si>
    <t>Ana</t>
  </si>
  <si>
    <t>ana@fatec</t>
  </si>
  <si>
    <t>1234</t>
  </si>
  <si>
    <t>Beatriz</t>
  </si>
  <si>
    <t>bia@fatec</t>
  </si>
  <si>
    <t>BLOQUEADA</t>
  </si>
  <si>
    <t>teste</t>
  </si>
  <si>
    <t>teste@fatec</t>
  </si>
  <si>
    <t>VALOR UNITÁRIO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</si>
</sst>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sz val="28"/>
      <color theme="0"/>
      <name val="Calibri"/>
      <family val="2"/>
      <scheme val="minor"/>
    </font>
    <font>
      <b/>
      <sz val="11"/>
      <color indexed="17"/>
      <name val="Calibri"/>
      <family val="2"/>
      <scheme val="minor"/>
    </font>
    <font>
      <b/>
      <sz val="11"/>
      <color indexed="1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9471D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28" fillId="0" borderId="0" applyNumberFormat="0" applyFill="0" applyBorder="0" applyAlignment="0" applyProtection="0"/>
  </cellStyleXfs>
  <cellXfs count="215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0" fillId="0" borderId="0" xfId="0" applyNumberFormat="1" applyFill="1" applyBorder="1"/>
    <xf numFmtId="165" fontId="0" fillId="0" borderId="0" xfId="0" applyNumberFormat="1"/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164" fontId="0" fillId="0" borderId="0" xfId="0" applyNumberFormat="1"/>
    <xf numFmtId="0" fontId="20" fillId="0" borderId="34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5" fillId="0" borderId="0" xfId="0" applyFont="1" applyFill="1" applyAlignment="1">
      <alignment vertical="center"/>
    </xf>
    <xf numFmtId="0" fontId="21" fillId="9" borderId="47" xfId="0" applyFont="1" applyFill="1" applyBorder="1" applyAlignment="1">
      <alignment horizontal="center"/>
    </xf>
    <xf numFmtId="0" fontId="21" fillId="9" borderId="8" xfId="0" applyFont="1" applyFill="1" applyBorder="1" applyAlignment="1">
      <alignment horizontal="center"/>
    </xf>
    <xf numFmtId="0" fontId="20" fillId="0" borderId="4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4" xfId="0" applyFont="1" applyBorder="1"/>
    <xf numFmtId="0" fontId="20" fillId="0" borderId="45" xfId="0" applyFont="1" applyBorder="1"/>
    <xf numFmtId="0" fontId="26" fillId="0" borderId="34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26" fillId="0" borderId="44" xfId="0" applyFont="1" applyBorder="1"/>
    <xf numFmtId="0" fontId="28" fillId="0" borderId="44" xfId="4" applyBorder="1"/>
    <xf numFmtId="0" fontId="25" fillId="8" borderId="20" xfId="0" applyFont="1" applyFill="1" applyBorder="1" applyAlignment="1">
      <alignment horizontal="center" vertical="center" wrapText="1"/>
    </xf>
    <xf numFmtId="0" fontId="25" fillId="8" borderId="21" xfId="0" applyFont="1" applyFill="1" applyBorder="1" applyAlignment="1">
      <alignment horizontal="center" vertical="center" wrapText="1"/>
    </xf>
    <xf numFmtId="0" fontId="25" fillId="8" borderId="22" xfId="0" applyFont="1" applyFill="1" applyBorder="1" applyAlignment="1">
      <alignment horizontal="center" vertical="center" wrapText="1"/>
    </xf>
    <xf numFmtId="0" fontId="25" fillId="8" borderId="23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>
      <alignment horizontal="center" vertical="center" wrapText="1"/>
    </xf>
    <xf numFmtId="0" fontId="25" fillId="8" borderId="40" xfId="0" applyFont="1" applyFill="1" applyBorder="1" applyAlignment="1">
      <alignment horizontal="center" vertical="center" wrapText="1"/>
    </xf>
    <xf numFmtId="0" fontId="25" fillId="8" borderId="25" xfId="0" applyFont="1" applyFill="1" applyBorder="1" applyAlignment="1">
      <alignment horizontal="center" vertical="center" wrapText="1"/>
    </xf>
    <xf numFmtId="0" fontId="25" fillId="8" borderId="26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wrapText="1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numFmt numFmtId="165" formatCode="_(&quot;R$&quot;* #,##0.00_);_(&quot;R$&quot;* \(#,##0.00\);_(&quot;R$&quot;* &quot;-&quot;??_);_(@_)"/>
    </dxf>
  </dxfs>
  <tableStyles count="0" defaultTableStyle="TableStyleMedium9" defaultPivotStyle="PivotStyleLight16"/>
  <colors>
    <mruColors>
      <color rgb="FF39471D"/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 DE VENDAS ANUAIS 2009/2010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D6-45A9-9557-783C942C2CB6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D6-45A9-9557-783C942C2CB6}"/>
            </c:ext>
          </c:extLst>
        </c:ser>
        <c:ser>
          <c:idx val="2"/>
          <c:order val="2"/>
          <c:tx>
            <c:v>META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D6-45A9-9557-783C942C2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404816192"/>
        <c:axId val="404812584"/>
      </c:lineChart>
      <c:catAx>
        <c:axId val="40481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4812584"/>
        <c:crosses val="autoZero"/>
        <c:auto val="1"/>
        <c:lblAlgn val="ctr"/>
        <c:lblOffset val="100"/>
        <c:noMultiLvlLbl val="0"/>
      </c:catAx>
      <c:valAx>
        <c:axId val="404812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48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8C74EC-7910-47A4-A2B6-F33BDCB9666E}">
  <sheetPr codeName="Gráfico2"/>
  <sheetViews>
    <sheetView zoomScale="9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autentic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133350</xdr:rowOff>
    </xdr:from>
    <xdr:to>
      <xdr:col>6</xdr:col>
      <xdr:colOff>314325</xdr:colOff>
      <xdr:row>7</xdr:row>
      <xdr:rowOff>19050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33350"/>
          <a:ext cx="3810000" cy="1228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20</xdr:row>
          <xdr:rowOff>0</xdr:rowOff>
        </xdr:from>
        <xdr:to>
          <xdr:col>9</xdr:col>
          <xdr:colOff>352425</xdr:colOff>
          <xdr:row>21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9239" cy="600489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mberto" refreshedDate="44070.430841550929" createdVersion="6" refreshedVersion="6" minRefreshableVersion="3" recordCount="14" xr:uid="{8C3D7564-2A23-4AFE-985C-D59ACCEF5024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B82639-0481-4D41-B697-C2D73DBFF8EA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bia@fatec" TargetMode="External"/><Relationship Id="rId1" Type="http://schemas.openxmlformats.org/officeDocument/2006/relationships/hyperlink" Target="mailto:ana@fate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A5" workbookViewId="0">
      <selection activeCell="R41" sqref="R41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2DC9-C68E-4A92-A876-E0214F92D4FE}">
  <sheetPr codeName="Planilha2"/>
  <dimension ref="H1:Q22"/>
  <sheetViews>
    <sheetView showGridLines="0" workbookViewId="0">
      <selection activeCell="J11" sqref="J11"/>
    </sheetView>
  </sheetViews>
  <sheetFormatPr defaultRowHeight="15" x14ac:dyDescent="0.25"/>
  <cols>
    <col min="8" max="8" width="13.140625" customWidth="1"/>
    <col min="9" max="9" width="30.28515625" customWidth="1"/>
    <col min="10" max="10" width="23.28515625" customWidth="1"/>
    <col min="11" max="11" width="14.42578125" customWidth="1"/>
    <col min="12" max="12" width="18.42578125" customWidth="1"/>
  </cols>
  <sheetData>
    <row r="1" spans="8:17" x14ac:dyDescent="0.25">
      <c r="H1" s="133" t="s">
        <v>151</v>
      </c>
      <c r="I1" s="134"/>
      <c r="J1" s="134"/>
      <c r="K1" s="134"/>
      <c r="L1" s="135"/>
    </row>
    <row r="2" spans="8:17" ht="15" customHeight="1" x14ac:dyDescent="0.25">
      <c r="H2" s="136"/>
      <c r="I2" s="137"/>
      <c r="J2" s="137"/>
      <c r="K2" s="137"/>
      <c r="L2" s="138"/>
      <c r="M2" s="122"/>
      <c r="N2" s="122"/>
      <c r="O2" s="122"/>
      <c r="P2" s="122"/>
      <c r="Q2" s="122"/>
    </row>
    <row r="3" spans="8:17" ht="15" customHeight="1" x14ac:dyDescent="0.25">
      <c r="H3" s="136"/>
      <c r="I3" s="137"/>
      <c r="J3" s="137"/>
      <c r="K3" s="137"/>
      <c r="L3" s="138"/>
      <c r="M3" s="122"/>
      <c r="N3" s="122"/>
      <c r="O3" s="122"/>
      <c r="P3" s="122"/>
      <c r="Q3" s="122"/>
    </row>
    <row r="4" spans="8:17" ht="15" customHeight="1" x14ac:dyDescent="0.25">
      <c r="H4" s="136"/>
      <c r="I4" s="137"/>
      <c r="J4" s="137"/>
      <c r="K4" s="137"/>
      <c r="L4" s="138"/>
      <c r="M4" s="122"/>
      <c r="N4" s="122"/>
      <c r="O4" s="122"/>
      <c r="P4" s="122"/>
      <c r="Q4" s="122"/>
    </row>
    <row r="5" spans="8:17" ht="15" customHeight="1" x14ac:dyDescent="0.25">
      <c r="H5" s="136"/>
      <c r="I5" s="137"/>
      <c r="J5" s="137"/>
      <c r="K5" s="137"/>
      <c r="L5" s="138"/>
      <c r="M5" s="122"/>
      <c r="N5" s="122"/>
      <c r="O5" s="122"/>
      <c r="P5" s="122"/>
      <c r="Q5" s="122"/>
    </row>
    <row r="6" spans="8:17" ht="15" customHeight="1" thickBot="1" x14ac:dyDescent="0.3">
      <c r="H6" s="139"/>
      <c r="I6" s="140"/>
      <c r="J6" s="140"/>
      <c r="K6" s="140"/>
      <c r="L6" s="141"/>
      <c r="M6" s="122"/>
      <c r="N6" s="122"/>
      <c r="O6" s="122"/>
      <c r="P6" s="122"/>
      <c r="Q6" s="122"/>
    </row>
    <row r="7" spans="8:17" ht="15.75" thickBot="1" x14ac:dyDescent="0.3"/>
    <row r="8" spans="8:17" x14ac:dyDescent="0.25">
      <c r="H8" s="123" t="s">
        <v>152</v>
      </c>
      <c r="I8" s="123" t="s">
        <v>153</v>
      </c>
      <c r="J8" s="123" t="s">
        <v>154</v>
      </c>
      <c r="K8" s="123" t="s">
        <v>155</v>
      </c>
      <c r="L8" s="124" t="s">
        <v>156</v>
      </c>
    </row>
    <row r="9" spans="8:17" x14ac:dyDescent="0.25">
      <c r="H9" s="125">
        <v>1</v>
      </c>
      <c r="I9" s="131" t="s">
        <v>157</v>
      </c>
      <c r="J9" s="127" t="s">
        <v>158</v>
      </c>
      <c r="K9" s="125" t="s">
        <v>159</v>
      </c>
      <c r="L9" s="130" t="s">
        <v>169</v>
      </c>
    </row>
    <row r="10" spans="8:17" x14ac:dyDescent="0.25">
      <c r="H10" s="125">
        <v>2</v>
      </c>
      <c r="I10" s="127" t="s">
        <v>161</v>
      </c>
      <c r="J10" s="127" t="s">
        <v>162</v>
      </c>
      <c r="K10" s="125" t="s">
        <v>163</v>
      </c>
      <c r="L10" s="129" t="s">
        <v>160</v>
      </c>
    </row>
    <row r="11" spans="8:17" x14ac:dyDescent="0.25">
      <c r="H11" s="125">
        <v>3</v>
      </c>
      <c r="I11" s="127" t="s">
        <v>164</v>
      </c>
      <c r="J11" s="132" t="s">
        <v>165</v>
      </c>
      <c r="K11" s="125" t="s">
        <v>166</v>
      </c>
      <c r="L11" s="129" t="s">
        <v>160</v>
      </c>
    </row>
    <row r="12" spans="8:17" x14ac:dyDescent="0.25">
      <c r="H12" s="125">
        <v>4</v>
      </c>
      <c r="I12" s="127" t="s">
        <v>167</v>
      </c>
      <c r="J12" s="132" t="s">
        <v>168</v>
      </c>
      <c r="K12" s="125" t="s">
        <v>163</v>
      </c>
      <c r="L12" s="129" t="s">
        <v>160</v>
      </c>
    </row>
    <row r="13" spans="8:17" x14ac:dyDescent="0.25">
      <c r="H13" s="125">
        <v>5</v>
      </c>
      <c r="I13" s="127" t="s">
        <v>170</v>
      </c>
      <c r="J13" s="127" t="s">
        <v>171</v>
      </c>
      <c r="K13" s="125" t="s">
        <v>163</v>
      </c>
      <c r="L13" s="120" t="s">
        <v>160</v>
      </c>
    </row>
    <row r="14" spans="8:17" x14ac:dyDescent="0.25">
      <c r="H14" s="125"/>
      <c r="I14" s="127"/>
      <c r="J14" s="127"/>
      <c r="K14" s="125"/>
      <c r="L14" s="120"/>
    </row>
    <row r="15" spans="8:17" x14ac:dyDescent="0.25">
      <c r="H15" s="125"/>
      <c r="I15" s="127"/>
      <c r="J15" s="127"/>
      <c r="K15" s="125"/>
      <c r="L15" s="120"/>
    </row>
    <row r="16" spans="8:17" x14ac:dyDescent="0.25">
      <c r="H16" s="125"/>
      <c r="I16" s="127"/>
      <c r="J16" s="127"/>
      <c r="K16" s="125"/>
      <c r="L16" s="120"/>
    </row>
    <row r="17" spans="8:12" x14ac:dyDescent="0.25">
      <c r="H17" s="125"/>
      <c r="I17" s="127"/>
      <c r="J17" s="127"/>
      <c r="K17" s="125"/>
      <c r="L17" s="120"/>
    </row>
    <row r="18" spans="8:12" x14ac:dyDescent="0.25">
      <c r="H18" s="125"/>
      <c r="I18" s="127"/>
      <c r="J18" s="127"/>
      <c r="K18" s="125"/>
      <c r="L18" s="120"/>
    </row>
    <row r="19" spans="8:12" x14ac:dyDescent="0.25">
      <c r="H19" s="125"/>
      <c r="I19" s="127"/>
      <c r="J19" s="127"/>
      <c r="K19" s="125"/>
      <c r="L19" s="120"/>
    </row>
    <row r="20" spans="8:12" x14ac:dyDescent="0.25">
      <c r="H20" s="125"/>
      <c r="I20" s="127"/>
      <c r="J20" s="127"/>
      <c r="K20" s="125"/>
      <c r="L20" s="120"/>
    </row>
    <row r="21" spans="8:12" x14ac:dyDescent="0.25">
      <c r="H21" s="125"/>
      <c r="I21" s="127"/>
      <c r="J21" s="127"/>
      <c r="K21" s="125"/>
      <c r="L21" s="120"/>
    </row>
    <row r="22" spans="8:12" ht="15.75" thickBot="1" x14ac:dyDescent="0.3">
      <c r="H22" s="126"/>
      <c r="I22" s="128"/>
      <c r="J22" s="128"/>
      <c r="K22" s="126"/>
      <c r="L22" s="121"/>
    </row>
  </sheetData>
  <mergeCells count="1">
    <mergeCell ref="H1:L6"/>
  </mergeCells>
  <hyperlinks>
    <hyperlink ref="J11" r:id="rId1" xr:uid="{57A27FB6-2206-4A1F-9447-1523016A622C}"/>
    <hyperlink ref="J12" r:id="rId2" xr:uid="{F4359333-4060-4E17-A3A2-C68B0676F0E8}"/>
  </hyperlinks>
  <pageMargins left="0.511811024" right="0.511811024" top="0.78740157499999996" bottom="0.78740157499999996" header="0.31496062000000002" footer="0.3149606200000000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opLeftCell="A5" zoomScaleNormal="100" workbookViewId="0">
      <selection activeCell="H24" sqref="H24:J24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  <col min="18" max="18" width="10.140625" bestFit="1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44"/>
      <c r="F2" s="144"/>
      <c r="G2" s="144"/>
      <c r="H2" s="144"/>
      <c r="I2" s="144"/>
      <c r="J2" s="144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45" t="s">
        <v>2</v>
      </c>
      <c r="C4" s="146"/>
      <c r="D4" s="146"/>
      <c r="E4" s="146"/>
      <c r="F4" s="146"/>
      <c r="G4" s="146"/>
      <c r="H4" s="146"/>
      <c r="I4" s="146"/>
      <c r="J4" s="147"/>
    </row>
    <row r="5" spans="1:21" ht="15.95" customHeight="1" x14ac:dyDescent="0.25">
      <c r="B5" s="86" t="s">
        <v>0</v>
      </c>
      <c r="C5" s="148"/>
      <c r="D5" s="149"/>
      <c r="E5" s="149"/>
      <c r="F5" s="149"/>
      <c r="G5" s="149"/>
      <c r="H5" s="149"/>
      <c r="I5" s="149"/>
      <c r="J5" s="150"/>
    </row>
    <row r="6" spans="1:21" ht="15.95" customHeight="1" thickBot="1" x14ac:dyDescent="0.3">
      <c r="B6" s="87" t="s">
        <v>1</v>
      </c>
      <c r="C6" s="151"/>
      <c r="D6" s="152"/>
      <c r="E6" s="155" t="s">
        <v>91</v>
      </c>
      <c r="F6" s="156"/>
      <c r="G6" s="151"/>
      <c r="H6" s="153"/>
      <c r="I6" s="153"/>
      <c r="J6" s="154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85" t="s">
        <v>8</v>
      </c>
      <c r="C8" s="185"/>
      <c r="D8" s="185"/>
      <c r="E8" s="185"/>
      <c r="F8" s="185"/>
      <c r="G8" s="185"/>
      <c r="H8" s="185"/>
      <c r="I8" s="185"/>
      <c r="J8" s="185"/>
      <c r="L8" s="199" t="s">
        <v>12</v>
      </c>
      <c r="M8" s="200"/>
      <c r="N8" s="200"/>
      <c r="O8" s="200"/>
      <c r="P8" s="200"/>
      <c r="Q8" s="201"/>
    </row>
    <row r="9" spans="1:21" ht="15.95" customHeight="1" thickBot="1" x14ac:dyDescent="0.3">
      <c r="B9" s="94" t="s">
        <v>13</v>
      </c>
      <c r="C9" s="196" t="s">
        <v>14</v>
      </c>
      <c r="D9" s="196"/>
      <c r="E9" s="196"/>
      <c r="F9" s="94" t="s">
        <v>15</v>
      </c>
      <c r="G9" s="94" t="s">
        <v>16</v>
      </c>
      <c r="H9" s="94" t="s">
        <v>17</v>
      </c>
      <c r="I9" s="196" t="s">
        <v>18</v>
      </c>
      <c r="J9" s="196"/>
      <c r="L9" s="202"/>
      <c r="M9" s="203"/>
      <c r="N9" s="203"/>
      <c r="O9" s="203"/>
      <c r="P9" s="203"/>
      <c r="Q9" s="204"/>
    </row>
    <row r="10" spans="1:21" ht="15.95" customHeight="1" x14ac:dyDescent="0.25">
      <c r="B10" s="95">
        <v>2017</v>
      </c>
      <c r="C10" s="143" t="str">
        <f>IF(B10="","",VLOOKUP(B10,PEDIDOS!$B$9:$E$34,2,FALSE))</f>
        <v>Nextel i897 Ferrari</v>
      </c>
      <c r="D10" s="143"/>
      <c r="E10" s="143"/>
      <c r="F10" s="95" t="str">
        <f>IF(B10="","",VLOOKUP(B10,PEDIDOS!$B$9:$E$34,4,FALSE))</f>
        <v>Telefonia</v>
      </c>
      <c r="G10" s="96">
        <v>12</v>
      </c>
      <c r="H10" s="97">
        <f>IF(B10="","",VLOOKUP(B10,PEDIDOS!$B$9:$E$34,3,FALSE))</f>
        <v>899</v>
      </c>
      <c r="I10" s="142">
        <f>IF(OR(G10="",H10=""),"",PRODUCT(G10:H10))</f>
        <v>10788</v>
      </c>
      <c r="J10" s="142"/>
      <c r="L10" s="186" t="s">
        <v>110</v>
      </c>
      <c r="M10" s="187"/>
      <c r="N10" s="187"/>
      <c r="O10" s="188"/>
      <c r="P10" s="192">
        <f>SMALL(H10:H18,2)</f>
        <v>399</v>
      </c>
      <c r="Q10" s="193"/>
      <c r="R10" s="119">
        <f>MIN(H10:H18)</f>
        <v>12</v>
      </c>
    </row>
    <row r="11" spans="1:21" ht="15.95" customHeight="1" x14ac:dyDescent="0.25">
      <c r="B11" s="95">
        <v>2003</v>
      </c>
      <c r="C11" s="143" t="str">
        <f>IF(B11="","",VLOOKUP(B11,PEDIDOS!$B$9:$E$34,2,FALSE))</f>
        <v>Monitor LCD 19'' AOC</v>
      </c>
      <c r="D11" s="143"/>
      <c r="E11" s="143"/>
      <c r="F11" s="95" t="str">
        <f>IF(B11="","",VLOOKUP(B11,PEDIDOS!$B$9:$E$34,4,FALSE))</f>
        <v>Informática</v>
      </c>
      <c r="G11" s="96">
        <v>5</v>
      </c>
      <c r="H11" s="97">
        <f>IF(B11="","",VLOOKUP(B11,PEDIDOS!$B$9:$E$34,3,FALSE))</f>
        <v>550</v>
      </c>
      <c r="I11" s="142">
        <f t="shared" ref="I11:I18" si="0">IF(OR(G11="",H11=""),"",PRODUCT(G11:H11))</f>
        <v>2750</v>
      </c>
      <c r="J11" s="142"/>
      <c r="L11" s="189" t="s">
        <v>111</v>
      </c>
      <c r="M11" s="190"/>
      <c r="N11" s="190"/>
      <c r="O11" s="191"/>
      <c r="P11" s="194">
        <f>LARGE(H10:H18,4)</f>
        <v>550</v>
      </c>
      <c r="Q11" s="195"/>
      <c r="R11" s="119">
        <f>MAX(H10:H18)</f>
        <v>899</v>
      </c>
    </row>
    <row r="12" spans="1:21" ht="15.95" customHeight="1" x14ac:dyDescent="0.25">
      <c r="B12" s="95">
        <v>2001</v>
      </c>
      <c r="C12" s="143" t="str">
        <f>IF(B12="","",VLOOKUP(B12,PEDIDOS!$B$9:$E$34,2,FALSE))</f>
        <v>Impressora Multi HP</v>
      </c>
      <c r="D12" s="143"/>
      <c r="E12" s="143"/>
      <c r="F12" s="95" t="str">
        <f>IF(B12="","",VLOOKUP(B12,PEDIDOS!$B$9:$E$34,4,FALSE))</f>
        <v>Informática</v>
      </c>
      <c r="G12" s="96">
        <v>1</v>
      </c>
      <c r="H12" s="97">
        <f>IF(B12="","",VLOOKUP(B12,PEDIDOS!$B$9:$E$34,3,FALSE))</f>
        <v>399</v>
      </c>
      <c r="I12" s="142">
        <f t="shared" si="0"/>
        <v>399</v>
      </c>
      <c r="J12" s="142"/>
      <c r="L12" s="189" t="s">
        <v>19</v>
      </c>
      <c r="M12" s="190"/>
      <c r="N12" s="190"/>
      <c r="O12" s="191"/>
      <c r="P12" s="194">
        <f>AVERAGE(I10:J18)</f>
        <v>3211.5</v>
      </c>
      <c r="Q12" s="195"/>
    </row>
    <row r="13" spans="1:21" ht="15.95" customHeight="1" x14ac:dyDescent="0.25">
      <c r="B13" s="95">
        <v>2015</v>
      </c>
      <c r="C13" s="143" t="str">
        <f>IF(B13="","",VLOOKUP(B13,PEDIDOS!$B$9:$E$34,2,FALSE))</f>
        <v>Blu-Ray e DVD Player  - Sony</v>
      </c>
      <c r="D13" s="143"/>
      <c r="E13" s="143"/>
      <c r="F13" s="95" t="str">
        <f>IF(B13="","",VLOOKUP(B13,PEDIDOS!$B$9:$E$34,4,FALSE))</f>
        <v>Eletrônicos</v>
      </c>
      <c r="G13" s="96">
        <v>2</v>
      </c>
      <c r="H13" s="97">
        <f>IF(B13="","",VLOOKUP(B13,PEDIDOS!$B$9:$E$34,3,FALSE))</f>
        <v>632</v>
      </c>
      <c r="I13" s="142">
        <f t="shared" si="0"/>
        <v>1264</v>
      </c>
      <c r="J13" s="142"/>
      <c r="L13" s="189" t="s">
        <v>97</v>
      </c>
      <c r="M13" s="190"/>
      <c r="N13" s="190"/>
      <c r="O13" s="191"/>
      <c r="P13" s="194">
        <f>SUMIF(F10:F18,"Informática",I10:J18)</f>
        <v>3149</v>
      </c>
      <c r="Q13" s="195"/>
    </row>
    <row r="14" spans="1:21" ht="15.95" customHeight="1" x14ac:dyDescent="0.25">
      <c r="B14" s="95">
        <v>2024</v>
      </c>
      <c r="C14" s="143" t="str">
        <f>IF(B14="","",VLOOKUP(B14,PEDIDOS!$B$9:$E$34,2,FALSE))</f>
        <v>Motorola EX115 Preto - GSM</v>
      </c>
      <c r="D14" s="143"/>
      <c r="E14" s="143"/>
      <c r="F14" s="95" t="str">
        <f>IF(B14="","",VLOOKUP(B14,PEDIDOS!$B$9:$E$34,4,FALSE))</f>
        <v>Telefonia</v>
      </c>
      <c r="G14" s="96">
        <v>6</v>
      </c>
      <c r="H14" s="97">
        <f>IF(B14="","",VLOOKUP(B14,PEDIDOS!$B$9:$E$34,3,FALSE))</f>
        <v>660</v>
      </c>
      <c r="I14" s="142">
        <f t="shared" si="0"/>
        <v>3960</v>
      </c>
      <c r="J14" s="142"/>
      <c r="L14" s="189" t="s">
        <v>98</v>
      </c>
      <c r="M14" s="190"/>
      <c r="N14" s="190"/>
      <c r="O14" s="191"/>
      <c r="P14" s="194">
        <f>SUMIF(F10:F18,"Telefonia",I10:J18)</f>
        <v>14856</v>
      </c>
      <c r="Q14" s="195"/>
    </row>
    <row r="15" spans="1:21" ht="15.95" customHeight="1" x14ac:dyDescent="0.25">
      <c r="B15" s="95">
        <v>2013</v>
      </c>
      <c r="C15" s="143" t="str">
        <f>IF(B15="","",VLOOKUP(B15,PEDIDOS!$B$9:$E$34,2,FALSE))</f>
        <v xml:space="preserve">TIMChip Infinity Pré - 128KB </v>
      </c>
      <c r="D15" s="143"/>
      <c r="E15" s="143"/>
      <c r="F15" s="95" t="str">
        <f>IF(B15="","",VLOOKUP(B15,PEDIDOS!$B$9:$E$34,4,FALSE))</f>
        <v>Telefonia</v>
      </c>
      <c r="G15" s="96">
        <v>9</v>
      </c>
      <c r="H15" s="97">
        <f>IF(B15="","",VLOOKUP(B15,PEDIDOS!$B$9:$E$34,3,FALSE))</f>
        <v>12</v>
      </c>
      <c r="I15" s="142">
        <f t="shared" si="0"/>
        <v>108</v>
      </c>
      <c r="J15" s="142"/>
      <c r="L15" s="189" t="s">
        <v>99</v>
      </c>
      <c r="M15" s="190"/>
      <c r="N15" s="190"/>
      <c r="O15" s="191"/>
      <c r="P15" s="194">
        <f>SUMIF(F10:F18,"Eletrônicos",I10:J18)</f>
        <v>1264</v>
      </c>
      <c r="Q15" s="195"/>
    </row>
    <row r="16" spans="1:21" ht="15.95" customHeight="1" x14ac:dyDescent="0.25">
      <c r="B16" s="95"/>
      <c r="C16" s="143" t="str">
        <f>IF(B16="","",VLOOKUP(B16,PEDIDOS!$B$9:$E$34,2,FALSE))</f>
        <v/>
      </c>
      <c r="D16" s="143"/>
      <c r="E16" s="143"/>
      <c r="F16" s="95" t="str">
        <f>IF(B16="","",VLOOKUP(B16,PEDIDOS!$B$9:$E$34,4,FALSE))</f>
        <v/>
      </c>
      <c r="G16" s="96"/>
      <c r="H16" s="97" t="str">
        <f>IF(B16="","",VLOOKUP(B16,PEDIDOS!$B$9:$E$34,3,FALSE))</f>
        <v/>
      </c>
      <c r="I16" s="142" t="str">
        <f t="shared" si="0"/>
        <v/>
      </c>
      <c r="J16" s="142"/>
      <c r="L16" s="189" t="s">
        <v>9</v>
      </c>
      <c r="M16" s="190"/>
      <c r="N16" s="190"/>
      <c r="O16" s="191"/>
      <c r="P16" s="205">
        <f>SUMIF(F10:F18,"Informática",G10:G18)</f>
        <v>6</v>
      </c>
      <c r="Q16" s="206"/>
      <c r="R16">
        <f>COUNTIF(F10:F18,"Informática")</f>
        <v>2</v>
      </c>
    </row>
    <row r="17" spans="2:18" ht="15.95" customHeight="1" x14ac:dyDescent="0.25">
      <c r="B17" s="95"/>
      <c r="C17" s="143" t="str">
        <f>IF(B17="","",VLOOKUP(B17,PEDIDOS!$B$9:$E$34,2,FALSE))</f>
        <v/>
      </c>
      <c r="D17" s="143"/>
      <c r="E17" s="143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42" t="str">
        <f t="shared" si="0"/>
        <v/>
      </c>
      <c r="J17" s="142"/>
      <c r="L17" s="189" t="s">
        <v>10</v>
      </c>
      <c r="M17" s="190"/>
      <c r="N17" s="190"/>
      <c r="O17" s="191"/>
      <c r="P17" s="205">
        <f>SUMIF(F10:F18,"Telefonia",G10:G18)</f>
        <v>27</v>
      </c>
      <c r="Q17" s="206"/>
      <c r="R17">
        <f>COUNTIF(F10:F18,"Telefonia")</f>
        <v>3</v>
      </c>
    </row>
    <row r="18" spans="2:18" ht="15.95" customHeight="1" thickBot="1" x14ac:dyDescent="0.3">
      <c r="B18" s="95"/>
      <c r="C18" s="143" t="str">
        <f>IF(B18="","",VLOOKUP(B18,PEDIDOS!$B$9:$E$34,2,FALSE))</f>
        <v/>
      </c>
      <c r="D18" s="143"/>
      <c r="E18" s="143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42" t="str">
        <f t="shared" si="0"/>
        <v/>
      </c>
      <c r="J18" s="142"/>
      <c r="L18" s="207" t="s">
        <v>11</v>
      </c>
      <c r="M18" s="208"/>
      <c r="N18" s="208"/>
      <c r="O18" s="209"/>
      <c r="P18" s="197">
        <f>SUMIF(F10:F18,"Eletrônicos",G10:G18)</f>
        <v>2</v>
      </c>
      <c r="Q18" s="198"/>
      <c r="R18">
        <f>COUNTIF(F10:F18,"Eletrônicos")</f>
        <v>1</v>
      </c>
    </row>
    <row r="19" spans="2:18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8" ht="15.95" customHeight="1" thickBot="1" x14ac:dyDescent="0.3">
      <c r="B20" s="164"/>
      <c r="C20" s="165"/>
      <c r="D20" s="165"/>
      <c r="E20" s="8"/>
      <c r="F20" s="88" t="s">
        <v>5</v>
      </c>
      <c r="G20" s="89"/>
      <c r="H20" s="170">
        <f>SUM(I10:J18)</f>
        <v>19269</v>
      </c>
      <c r="I20" s="171"/>
      <c r="J20" s="172"/>
      <c r="L20" s="175" t="s">
        <v>92</v>
      </c>
      <c r="M20" s="176"/>
      <c r="N20" s="176"/>
      <c r="O20" s="177"/>
    </row>
    <row r="21" spans="2:18" ht="15.95" customHeight="1" x14ac:dyDescent="0.25">
      <c r="B21" s="166"/>
      <c r="C21" s="167"/>
      <c r="D21" s="167"/>
      <c r="E21" s="9"/>
      <c r="F21" s="90" t="s">
        <v>4</v>
      </c>
      <c r="G21" s="91"/>
      <c r="H21" s="182"/>
      <c r="I21" s="183"/>
      <c r="J21" s="184"/>
      <c r="L21" s="57" t="s">
        <v>93</v>
      </c>
      <c r="M21" s="58"/>
      <c r="N21" s="180" t="s">
        <v>112</v>
      </c>
      <c r="O21" s="181"/>
    </row>
    <row r="22" spans="2:18" ht="15.95" customHeight="1" x14ac:dyDescent="0.25">
      <c r="B22" s="166"/>
      <c r="C22" s="167"/>
      <c r="D22" s="167"/>
      <c r="E22" s="9"/>
      <c r="F22" s="90" t="s">
        <v>6</v>
      </c>
      <c r="G22" s="91"/>
      <c r="H22" s="157">
        <f>IF(A1=1,H20*20%,IF(A1=4,H20*5%,"Sem Desconto"))</f>
        <v>963.45</v>
      </c>
      <c r="I22" s="142"/>
      <c r="J22" s="158"/>
      <c r="L22" s="59" t="s">
        <v>94</v>
      </c>
      <c r="M22" s="60"/>
      <c r="N22" s="159" t="s">
        <v>115</v>
      </c>
      <c r="O22" s="160"/>
    </row>
    <row r="23" spans="2:18" ht="15.95" customHeight="1" x14ac:dyDescent="0.25">
      <c r="B23" s="166"/>
      <c r="C23" s="167"/>
      <c r="D23" s="167"/>
      <c r="E23" s="9"/>
      <c r="F23" s="90" t="s">
        <v>114</v>
      </c>
      <c r="G23" s="91"/>
      <c r="H23" s="157" t="str">
        <f>IF(A1=3,(H20*109.69%)/3,"Sem Parcelas")</f>
        <v>Sem Parcelas</v>
      </c>
      <c r="I23" s="142"/>
      <c r="J23" s="158"/>
      <c r="L23" s="59" t="s">
        <v>113</v>
      </c>
      <c r="M23" s="60"/>
      <c r="N23" s="159" t="s">
        <v>116</v>
      </c>
      <c r="O23" s="160"/>
    </row>
    <row r="24" spans="2:18" ht="15.95" customHeight="1" thickBot="1" x14ac:dyDescent="0.3">
      <c r="B24" s="168"/>
      <c r="C24" s="169"/>
      <c r="D24" s="169"/>
      <c r="E24" s="10"/>
      <c r="F24" s="92" t="s">
        <v>7</v>
      </c>
      <c r="G24" s="93"/>
      <c r="H24" s="161">
        <f>IF(OR(A1=1,A1=4),H20-H22,IF(A1=2,H20*104.75%,H23*3))</f>
        <v>18305.55</v>
      </c>
      <c r="I24" s="162"/>
      <c r="J24" s="163"/>
      <c r="L24" s="173" t="s">
        <v>95</v>
      </c>
      <c r="M24" s="174"/>
      <c r="N24" s="178" t="s">
        <v>96</v>
      </c>
      <c r="O24" s="179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TENÇÃO" error="ID do Produto Inválido!!!" promptTitle="ATENÇÃO" prompt="Digite o ID do Produto entre 2000 e 2025." sqref="B10:B18" xr:uid="{4FF9B181-6EDF-4D03-B0D1-B385BF2FF2E0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6</xdr:col>
                    <xdr:colOff>762000</xdr:colOff>
                    <xdr:row>20</xdr:row>
                    <xdr:rowOff>0</xdr:rowOff>
                  </from>
                  <to>
                    <xdr:col>9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27" workbookViewId="0">
      <selection activeCell="C142" sqref="C142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  <col min="7" max="7" width="12.7109375" bestFit="1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210" t="s">
        <v>108</v>
      </c>
      <c r="C8" s="211"/>
      <c r="D8" s="212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F12" s="110"/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12" t="s">
        <v>129</v>
      </c>
      <c r="C16" s="27">
        <f>SUBTOTAL(9,C11:C15)</f>
        <v>101857</v>
      </c>
      <c r="D16" s="18"/>
      <c r="G16" s="14"/>
    </row>
    <row r="17" spans="2:6" outlineLevel="2" x14ac:dyDescent="0.25">
      <c r="B17" s="19" t="s">
        <v>23</v>
      </c>
      <c r="C17" s="28">
        <v>9852</v>
      </c>
      <c r="D17" s="20">
        <v>12544</v>
      </c>
      <c r="F17" s="84"/>
    </row>
    <row r="18" spans="2:6" outlineLevel="2" x14ac:dyDescent="0.25">
      <c r="B18" s="19" t="s">
        <v>23</v>
      </c>
      <c r="C18" s="28">
        <v>11125</v>
      </c>
      <c r="D18" s="20">
        <v>25413</v>
      </c>
    </row>
    <row r="19" spans="2:6" outlineLevel="2" x14ac:dyDescent="0.25">
      <c r="B19" s="19" t="s">
        <v>23</v>
      </c>
      <c r="C19" s="27">
        <v>32556</v>
      </c>
      <c r="D19" s="18">
        <v>44474</v>
      </c>
    </row>
    <row r="20" spans="2:6" outlineLevel="2" x14ac:dyDescent="0.25">
      <c r="B20" s="19" t="s">
        <v>23</v>
      </c>
      <c r="C20" s="27">
        <v>45201</v>
      </c>
      <c r="D20" s="18">
        <v>142122</v>
      </c>
    </row>
    <row r="21" spans="2:6" outlineLevel="2" x14ac:dyDescent="0.25">
      <c r="B21" s="19" t="s">
        <v>23</v>
      </c>
      <c r="C21" s="27">
        <v>36982</v>
      </c>
      <c r="D21" s="18">
        <v>112253</v>
      </c>
    </row>
    <row r="22" spans="2:6" outlineLevel="2" x14ac:dyDescent="0.25">
      <c r="B22" s="19" t="s">
        <v>23</v>
      </c>
      <c r="C22" s="27">
        <v>41145</v>
      </c>
      <c r="D22" s="18">
        <v>121217</v>
      </c>
    </row>
    <row r="23" spans="2:6" outlineLevel="2" x14ac:dyDescent="0.25">
      <c r="B23" s="19" t="s">
        <v>23</v>
      </c>
      <c r="C23" s="27">
        <v>56632</v>
      </c>
      <c r="D23" s="18">
        <v>655554</v>
      </c>
    </row>
    <row r="24" spans="2:6" outlineLevel="2" x14ac:dyDescent="0.25">
      <c r="B24" s="19" t="s">
        <v>23</v>
      </c>
      <c r="C24" s="27">
        <v>41212</v>
      </c>
      <c r="D24" s="18">
        <v>561221</v>
      </c>
    </row>
    <row r="25" spans="2:6" outlineLevel="1" x14ac:dyDescent="0.25">
      <c r="B25" s="113" t="s">
        <v>130</v>
      </c>
      <c r="C25" s="27">
        <f>SUBTOTAL(9,C17:C24)</f>
        <v>274705</v>
      </c>
      <c r="D25" s="18"/>
    </row>
    <row r="26" spans="2:6" outlineLevel="2" x14ac:dyDescent="0.25">
      <c r="B26" s="21" t="s">
        <v>24</v>
      </c>
      <c r="C26" s="27">
        <v>19857</v>
      </c>
      <c r="D26" s="18">
        <v>121112</v>
      </c>
    </row>
    <row r="27" spans="2:6" outlineLevel="2" x14ac:dyDescent="0.25">
      <c r="B27" s="21" t="s">
        <v>24</v>
      </c>
      <c r="C27" s="27">
        <v>11741</v>
      </c>
      <c r="D27" s="18">
        <v>554112</v>
      </c>
    </row>
    <row r="28" spans="2:6" outlineLevel="2" x14ac:dyDescent="0.25">
      <c r="B28" s="21" t="s">
        <v>24</v>
      </c>
      <c r="C28" s="27">
        <v>22123</v>
      </c>
      <c r="D28" s="18">
        <v>185477</v>
      </c>
    </row>
    <row r="29" spans="2:6" outlineLevel="2" x14ac:dyDescent="0.25">
      <c r="B29" s="21" t="s">
        <v>24</v>
      </c>
      <c r="C29" s="27">
        <v>12365</v>
      </c>
      <c r="D29" s="18">
        <v>211456</v>
      </c>
    </row>
    <row r="30" spans="2:6" outlineLevel="2" x14ac:dyDescent="0.25">
      <c r="B30" s="21" t="s">
        <v>24</v>
      </c>
      <c r="C30" s="27">
        <v>6442</v>
      </c>
      <c r="D30" s="18">
        <v>121221</v>
      </c>
    </row>
    <row r="31" spans="2:6" outlineLevel="2" x14ac:dyDescent="0.25">
      <c r="B31" s="21" t="s">
        <v>24</v>
      </c>
      <c r="C31" s="27">
        <v>36985</v>
      </c>
      <c r="D31" s="18">
        <v>653222</v>
      </c>
    </row>
    <row r="32" spans="2:6" outlineLevel="1" x14ac:dyDescent="0.25">
      <c r="B32" s="114" t="s">
        <v>131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4" t="s">
        <v>132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4" t="s">
        <v>133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4" t="s">
        <v>134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4" t="s">
        <v>135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4" t="s">
        <v>136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4" t="s">
        <v>137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4" t="s">
        <v>138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4" t="s">
        <v>139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4" t="s">
        <v>140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4" t="s">
        <v>141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4" t="s">
        <v>142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4" t="s">
        <v>143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4" t="s">
        <v>144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7" t="s">
        <v>145</v>
      </c>
      <c r="C142" s="115">
        <f>SUBTOTAL(9,C135:C141)</f>
        <v>394456</v>
      </c>
      <c r="D142" s="116"/>
    </row>
    <row r="143" spans="2:4" x14ac:dyDescent="0.25">
      <c r="B143" s="117" t="s">
        <v>146</v>
      </c>
      <c r="C143" s="115">
        <f>SUBTOTAL(9,C11:C141)</f>
        <v>4115174.3</v>
      </c>
      <c r="D143" s="116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5" workbookViewId="0">
      <selection activeCell="J14" sqref="J14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210" t="s">
        <v>109</v>
      </c>
      <c r="C8" s="211"/>
      <c r="D8" s="211"/>
      <c r="F8" s="210" t="s">
        <v>40</v>
      </c>
      <c r="G8" s="212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AD658-6793-4D38-8F2D-D8BA3515A719}">
  <sheetPr codeName="Planilha1"/>
  <dimension ref="A1:D19"/>
  <sheetViews>
    <sheetView workbookViewId="0">
      <selection activeCell="G10" sqref="G10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8" t="s">
        <v>102</v>
      </c>
      <c r="B1" t="s">
        <v>147</v>
      </c>
    </row>
    <row r="3" spans="1:4" x14ac:dyDescent="0.25">
      <c r="B3" s="118" t="s">
        <v>21</v>
      </c>
    </row>
    <row r="4" spans="1:4" x14ac:dyDescent="0.25">
      <c r="A4" s="118" t="s">
        <v>101</v>
      </c>
      <c r="B4" t="s">
        <v>148</v>
      </c>
      <c r="C4" t="s">
        <v>149</v>
      </c>
      <c r="D4" t="s">
        <v>150</v>
      </c>
    </row>
    <row r="5" spans="1:4" x14ac:dyDescent="0.25">
      <c r="A5" t="s">
        <v>47</v>
      </c>
      <c r="B5" s="111">
        <v>2456</v>
      </c>
      <c r="C5" s="111">
        <v>5</v>
      </c>
      <c r="D5" s="111">
        <v>667</v>
      </c>
    </row>
    <row r="6" spans="1:4" x14ac:dyDescent="0.25">
      <c r="A6" t="s">
        <v>60</v>
      </c>
      <c r="B6" s="111">
        <v>333</v>
      </c>
      <c r="C6" s="111">
        <v>223</v>
      </c>
      <c r="D6" s="111">
        <v>432</v>
      </c>
    </row>
    <row r="7" spans="1:4" x14ac:dyDescent="0.25">
      <c r="A7" t="s">
        <v>48</v>
      </c>
      <c r="B7" s="111">
        <v>322</v>
      </c>
      <c r="C7" s="111">
        <v>6</v>
      </c>
      <c r="D7" s="111">
        <v>4346</v>
      </c>
    </row>
    <row r="8" spans="1:4" x14ac:dyDescent="0.25">
      <c r="A8" t="s">
        <v>42</v>
      </c>
      <c r="B8" s="111">
        <v>3456</v>
      </c>
      <c r="C8" s="111">
        <v>121</v>
      </c>
      <c r="D8" s="111">
        <v>32</v>
      </c>
    </row>
    <row r="9" spans="1:4" x14ac:dyDescent="0.25">
      <c r="A9" t="s">
        <v>50</v>
      </c>
      <c r="B9" s="111">
        <v>456</v>
      </c>
      <c r="C9" s="111">
        <v>5534</v>
      </c>
      <c r="D9" s="111">
        <v>23432</v>
      </c>
    </row>
    <row r="10" spans="1:4" x14ac:dyDescent="0.25">
      <c r="A10" t="s">
        <v>61</v>
      </c>
      <c r="B10" s="111">
        <v>3235</v>
      </c>
      <c r="C10" s="111">
        <v>2</v>
      </c>
      <c r="D10" s="111">
        <v>32</v>
      </c>
    </row>
    <row r="11" spans="1:4" x14ac:dyDescent="0.25">
      <c r="A11" t="s">
        <v>44</v>
      </c>
      <c r="B11" s="111">
        <v>4332</v>
      </c>
      <c r="C11" s="111">
        <v>5</v>
      </c>
      <c r="D11" s="111">
        <v>453</v>
      </c>
    </row>
    <row r="12" spans="1:4" x14ac:dyDescent="0.25">
      <c r="A12" t="s">
        <v>43</v>
      </c>
      <c r="B12" s="111">
        <v>4656</v>
      </c>
      <c r="C12" s="111">
        <v>4</v>
      </c>
      <c r="D12" s="111">
        <v>1234</v>
      </c>
    </row>
    <row r="13" spans="1:4" x14ac:dyDescent="0.25">
      <c r="A13" t="s">
        <v>46</v>
      </c>
      <c r="B13" s="111">
        <v>234</v>
      </c>
      <c r="C13" s="111">
        <v>5</v>
      </c>
      <c r="D13" s="111">
        <v>543</v>
      </c>
    </row>
    <row r="14" spans="1:4" x14ac:dyDescent="0.25">
      <c r="A14" t="s">
        <v>45</v>
      </c>
      <c r="B14" s="111">
        <v>21</v>
      </c>
      <c r="C14" s="111">
        <v>54</v>
      </c>
      <c r="D14" s="111">
        <v>543</v>
      </c>
    </row>
    <row r="15" spans="1:4" x14ac:dyDescent="0.25">
      <c r="A15" t="s">
        <v>51</v>
      </c>
      <c r="B15" s="111">
        <v>1234</v>
      </c>
      <c r="C15" s="111">
        <v>5</v>
      </c>
      <c r="D15" s="111">
        <v>32</v>
      </c>
    </row>
    <row r="16" spans="1:4" x14ac:dyDescent="0.25">
      <c r="A16" t="s">
        <v>63</v>
      </c>
      <c r="B16" s="111">
        <v>455</v>
      </c>
      <c r="C16" s="111">
        <v>4</v>
      </c>
      <c r="D16" s="111">
        <v>24</v>
      </c>
    </row>
    <row r="17" spans="1:4" x14ac:dyDescent="0.25">
      <c r="A17" t="s">
        <v>52</v>
      </c>
      <c r="B17" s="111">
        <v>9876</v>
      </c>
      <c r="C17" s="111">
        <v>656</v>
      </c>
      <c r="D17" s="111">
        <v>32</v>
      </c>
    </row>
    <row r="18" spans="1:4" x14ac:dyDescent="0.25">
      <c r="A18" t="s">
        <v>64</v>
      </c>
      <c r="B18" s="111">
        <v>122</v>
      </c>
      <c r="C18" s="111">
        <v>78</v>
      </c>
      <c r="D18" s="111">
        <v>3322</v>
      </c>
    </row>
    <row r="19" spans="1:4" x14ac:dyDescent="0.25">
      <c r="A19" t="s">
        <v>146</v>
      </c>
      <c r="B19" s="111">
        <v>31188</v>
      </c>
      <c r="C19" s="111">
        <v>6702</v>
      </c>
      <c r="D19" s="111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topLeftCell="A4" workbookViewId="0">
      <selection activeCell="H10" sqref="H10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zoomScaleNormal="100" workbookViewId="0">
      <selection activeCell="L11" sqref="L11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213" t="s">
        <v>71</v>
      </c>
      <c r="C9" s="214"/>
      <c r="D9" s="45"/>
      <c r="E9" s="213" t="s">
        <v>90</v>
      </c>
      <c r="F9" s="214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Q34"/>
  <sheetViews>
    <sheetView showGridLines="0" topLeftCell="K13" workbookViewId="0">
      <selection activeCell="N9" sqref="N9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5" t="s">
        <v>123</v>
      </c>
      <c r="N8" s="105" t="s">
        <v>172</v>
      </c>
      <c r="O8" s="76" t="s">
        <v>122</v>
      </c>
      <c r="P8" s="105" t="s">
        <v>125</v>
      </c>
      <c r="Q8" s="105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6"/>
      <c r="N9" s="106"/>
      <c r="O9" s="109"/>
      <c r="P9" s="107"/>
      <c r="Q9" s="108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9"/>
      <c r="P10" s="107"/>
      <c r="Q10" s="108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9"/>
      <c r="P11" s="107"/>
      <c r="Q11" s="108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3"/>
      <c r="P12" s="12"/>
      <c r="Q12" s="12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3"/>
      <c r="P13" s="12"/>
      <c r="Q13" s="12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3"/>
      <c r="P14" s="12"/>
      <c r="Q14" s="12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3"/>
      <c r="P15" s="12"/>
      <c r="Q15" s="12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3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3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3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3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3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3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3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3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3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3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3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3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3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3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3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3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3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3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4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A270631BE6E644B5ECC5E0934FDCEB" ma:contentTypeVersion="7" ma:contentTypeDescription="Crie um novo documento." ma:contentTypeScope="" ma:versionID="7fc291bebacd68e98e0fd4b0c1df5b72">
  <xsd:schema xmlns:xsd="http://www.w3.org/2001/XMLSchema" xmlns:xs="http://www.w3.org/2001/XMLSchema" xmlns:p="http://schemas.microsoft.com/office/2006/metadata/properties" xmlns:ns2="f3537469-bef8-4b77-a6a4-28593039d778" targetNamespace="http://schemas.microsoft.com/office/2006/metadata/properties" ma:root="true" ma:fieldsID="d2c99b1e8bcb6febf791f26ea0979e10" ns2:_="">
    <xsd:import namespace="f3537469-bef8-4b77-a6a4-28593039d7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537469-bef8-4b77-a6a4-28593039d7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190ECD-91ED-49F6-B03D-4C3A13E1E16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08BCD8-4067-42A9-8488-4AD9F63366F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31AAFAD-9B6F-4BCB-9C61-29B8C4ABE7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537469-bef8-4b77-a6a4-28593039d7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Gráficos</vt:lpstr>
      </vt:variant>
      <vt:variant>
        <vt:i4>1</vt:i4>
      </vt:variant>
    </vt:vector>
  </HeadingPairs>
  <TitlesOfParts>
    <vt:vector size="10" baseType="lpstr">
      <vt:lpstr>HOME</vt:lpstr>
      <vt:lpstr>CONTAS LOGIN</vt:lpstr>
      <vt:lpstr>VENDAS</vt:lpstr>
      <vt:lpstr>APURAÇÃO SUBTOTAIS</vt:lpstr>
      <vt:lpstr>CONSOLIDAÇÃO VALORES</vt:lpstr>
      <vt:lpstr>DADOS DINÂMICOS</vt:lpstr>
      <vt:lpstr>TABELA DINÂMICA</vt:lpstr>
      <vt:lpstr>DADOS GRÁFICO</vt:lpstr>
      <vt:lpstr>PEDIDOS</vt:lpstr>
      <vt:lpstr>ESTATISTICA 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José Alves</cp:lastModifiedBy>
  <dcterms:created xsi:type="dcterms:W3CDTF">2011-05-09T13:39:36Z</dcterms:created>
  <dcterms:modified xsi:type="dcterms:W3CDTF">2020-10-08T11:49:37Z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0x01010085A270631BE6E644B5ECC5E0934FDCEB</vt:lpwstr>
  </property>
</Properties>
</file>